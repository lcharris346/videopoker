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oeing-my.sharepoint.us/personal/larry_c_harris2_boeing_com/Documents/Desktop/Boeing/Training/python_examples/videopoker/"/>
    </mc:Choice>
  </mc:AlternateContent>
  <xr:revisionPtr revIDLastSave="0" documentId="8_{1E21FB24-51DB-43E0-AE13-B43FE46DB6F2}" xr6:coauthVersionLast="47" xr6:coauthVersionMax="47" xr10:uidLastSave="{00000000-0000-0000-0000-000000000000}"/>
  <bookViews>
    <workbookView xWindow="2970" yWindow="720" windowWidth="25350" windowHeight="14745" xr2:uid="{03A8D9EC-5B15-4C4B-BA00-FEC89F50BFC0}"/>
  </bookViews>
  <sheets>
    <sheet name="TargetBankro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K2" i="1"/>
  <c r="L2" i="1"/>
  <c r="P2" i="1" s="1"/>
  <c r="R2" i="1" s="1"/>
  <c r="M2" i="1"/>
  <c r="N2" i="1"/>
  <c r="O2" i="1" s="1"/>
  <c r="Q2" i="1" s="1"/>
  <c r="J3" i="1"/>
  <c r="N3" i="1" s="1"/>
  <c r="O3" i="1" s="1"/>
  <c r="Q3" i="1" s="1"/>
  <c r="K3" i="1"/>
  <c r="L3" i="1"/>
  <c r="M3" i="1"/>
  <c r="P3" i="1"/>
  <c r="R3" i="1" s="1"/>
  <c r="J4" i="1"/>
  <c r="K4" i="1" s="1"/>
  <c r="L4" i="1"/>
  <c r="M4" i="1"/>
  <c r="P4" i="1"/>
  <c r="J5" i="1"/>
  <c r="K5" i="1" s="1"/>
  <c r="L5" i="1"/>
  <c r="P5" i="1" s="1"/>
  <c r="R5" i="1" s="1"/>
  <c r="M5" i="1"/>
  <c r="N5" i="1"/>
  <c r="O5" i="1" s="1"/>
  <c r="Q5" i="1" s="1"/>
  <c r="J6" i="1"/>
  <c r="K6" i="1" s="1"/>
  <c r="L6" i="1"/>
  <c r="M6" i="1"/>
  <c r="N6" i="1"/>
  <c r="O6" i="1"/>
  <c r="P6" i="1"/>
  <c r="R6" i="1" s="1"/>
  <c r="Q6" i="1"/>
  <c r="K7" i="1" l="1"/>
  <c r="N4" i="1"/>
  <c r="O4" i="1" s="1"/>
  <c r="Q4" i="1" s="1"/>
  <c r="R4" i="1" s="1"/>
  <c r="R7" i="1" s="1"/>
</calcChain>
</file>

<file path=xl/sharedStrings.xml><?xml version="1.0" encoding="utf-8"?>
<sst xmlns="http://schemas.openxmlformats.org/spreadsheetml/2006/main" count="76" uniqueCount="58">
  <si>
    <t>med-high</t>
  </si>
  <si>
    <t>Not So Ugly Deuces</t>
  </si>
  <si>
    <t>Deuces Wild</t>
  </si>
  <si>
    <t>ultimate x</t>
  </si>
  <si>
    <t>extreme</t>
  </si>
  <si>
    <t>9/6</t>
  </si>
  <si>
    <t>Triple Double Bonus</t>
  </si>
  <si>
    <t>full house plus wheel</t>
  </si>
  <si>
    <t>high</t>
  </si>
  <si>
    <t>Double Double Bonus</t>
  </si>
  <si>
    <t>super triple</t>
  </si>
  <si>
    <t>Double Bonus</t>
  </si>
  <si>
    <t>super times pay</t>
  </si>
  <si>
    <t>low-med</t>
  </si>
  <si>
    <t>8/5</t>
  </si>
  <si>
    <t>Bonus</t>
  </si>
  <si>
    <t>classic</t>
  </si>
  <si>
    <t>Volatility</t>
  </si>
  <si>
    <t>Multi-play covariance</t>
  </si>
  <si>
    <t>Variance</t>
  </si>
  <si>
    <t>RTP</t>
  </si>
  <si>
    <t>Paytable</t>
  </si>
  <si>
    <t>Bonus Type</t>
  </si>
  <si>
    <t>No. Max Credits</t>
  </si>
  <si>
    <t>Game</t>
  </si>
  <si>
    <t>2.3 - 3</t>
  </si>
  <si>
    <t>95%-Guarantee-Factor</t>
  </si>
  <si>
    <t>bonus-odds / N-hands x 95%-Guarantee-Factor</t>
  </si>
  <si>
    <t>No Spins for bonus</t>
  </si>
  <si>
    <t>N-hands x Variance + (N-hands ( N-hands - 1) x Covariance)</t>
  </si>
  <si>
    <t>Variance per Round</t>
  </si>
  <si>
    <t>N-Spins x Variance per Round</t>
  </si>
  <si>
    <t>Total Session Variance</t>
  </si>
  <si>
    <t>SQRT(Total Session Variance)</t>
  </si>
  <si>
    <t>Session STD</t>
  </si>
  <si>
    <t>Z-Score x Denom x Session STD</t>
  </si>
  <si>
    <t>Volatility Buffer</t>
  </si>
  <si>
    <t>Denom x Credits x N-spins x N-hands x (1 - RTP)</t>
  </si>
  <si>
    <t>Expected Loss</t>
  </si>
  <si>
    <t>Expected Loss + Volatility Buffer</t>
  </si>
  <si>
    <t>Estimated Bank Roll</t>
  </si>
  <si>
    <t>1-tail Z-score</t>
  </si>
  <si>
    <t>%-Confidence</t>
  </si>
  <si>
    <t>Equation</t>
  </si>
  <si>
    <t>Formula</t>
  </si>
  <si>
    <t>deuces</t>
  </si>
  <si>
    <t>bonus</t>
  </si>
  <si>
    <t>dbl dbl</t>
  </si>
  <si>
    <t>Est. Bank Roll</t>
  </si>
  <si>
    <t>Variance per Spin</t>
  </si>
  <si>
    <t>Bet per Spin</t>
  </si>
  <si>
    <t>Duration (min, 5s/spin)</t>
  </si>
  <si>
    <t>N-Spins</t>
  </si>
  <si>
    <t>N-Hands</t>
  </si>
  <si>
    <t>Denom</t>
  </si>
  <si>
    <t>Target-Odds</t>
  </si>
  <si>
    <t xml:space="preserve"> Covariance-Multi-hand</t>
  </si>
  <si>
    <t>No.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</si>
</sst>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0"/>
      <color rgb="FF000000"/>
      <name val="Roboto"/>
    </font>
    <font>
      <b/>
      <sz val="11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49" fontId="1" fillId="0" borderId="1" xfId="0" applyNumberFormat="1" applyFont="1" applyBorder="1"/>
    <xf numFmtId="0" fontId="2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49" fontId="3" fillId="2" borderId="1" xfId="0" applyNumberFormat="1" applyFont="1" applyFill="1" applyBorder="1"/>
    <xf numFmtId="9" fontId="0" fillId="0" borderId="0" xfId="0" applyNumberFormat="1"/>
    <xf numFmtId="9" fontId="0" fillId="0" borderId="1" xfId="0" applyNumberFormat="1" applyBorder="1"/>
    <xf numFmtId="0" fontId="0" fillId="3" borderId="1" xfId="0" applyFill="1" applyBorder="1"/>
    <xf numFmtId="9" fontId="0" fillId="3" borderId="1" xfId="0" applyNumberFormat="1" applyFill="1" applyBorder="1"/>
    <xf numFmtId="0" fontId="0" fillId="0" borderId="2" xfId="0" applyBorder="1"/>
    <xf numFmtId="0" fontId="0" fillId="0" borderId="3" xfId="0" applyBorder="1"/>
    <xf numFmtId="0" fontId="3" fillId="2" borderId="4" xfId="0" applyFont="1" applyFill="1" applyBorder="1"/>
    <xf numFmtId="164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164" fontId="1" fillId="0" borderId="1" xfId="0" applyNumberFormat="1" applyFont="1" applyBorder="1"/>
    <xf numFmtId="164" fontId="3" fillId="4" borderId="1" xfId="0" applyNumberFormat="1" applyFont="1" applyFill="1" applyBorder="1"/>
    <xf numFmtId="164" fontId="3" fillId="5" borderId="1" xfId="0" applyNumberFormat="1" applyFont="1" applyFill="1" applyBorder="1"/>
    <xf numFmtId="164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7D13-74E8-4362-BB85-B9413860584E}">
  <dimension ref="A1:R33"/>
  <sheetViews>
    <sheetView tabSelected="1" workbookViewId="0">
      <selection activeCell="E21" sqref="E21"/>
    </sheetView>
  </sheetViews>
  <sheetFormatPr defaultRowHeight="15" x14ac:dyDescent="0.25"/>
  <cols>
    <col min="1" max="1" width="19" customWidth="1"/>
    <col min="2" max="2" width="13.85546875" customWidth="1"/>
    <col min="3" max="3" width="11.140625" customWidth="1"/>
    <col min="4" max="4" width="8" customWidth="1"/>
    <col min="5" max="5" width="9.5703125" customWidth="1"/>
    <col min="6" max="6" width="11.42578125" customWidth="1"/>
    <col min="7" max="7" width="13.42578125" customWidth="1"/>
    <col min="8" max="8" width="12.42578125" customWidth="1"/>
    <col min="9" max="9" width="11.5703125" customWidth="1"/>
    <col min="10" max="10" width="12.7109375" customWidth="1"/>
    <col min="11" max="11" width="11.7109375" customWidth="1"/>
    <col min="12" max="12" width="12.140625" customWidth="1"/>
    <col min="13" max="13" width="13" customWidth="1"/>
    <col min="14" max="14" width="12" customWidth="1"/>
    <col min="15" max="15" width="13.5703125" customWidth="1"/>
    <col min="16" max="16" width="15" customWidth="1"/>
    <col min="17" max="17" width="13.28515625" customWidth="1"/>
    <col min="18" max="18" width="14.140625" customWidth="1"/>
  </cols>
  <sheetData>
    <row r="1" spans="1:18" x14ac:dyDescent="0.25">
      <c r="A1" s="22" t="s">
        <v>24</v>
      </c>
      <c r="B1" s="22" t="s">
        <v>57</v>
      </c>
      <c r="C1" s="22" t="s">
        <v>22</v>
      </c>
      <c r="D1" s="22" t="s">
        <v>20</v>
      </c>
      <c r="E1" s="22" t="s">
        <v>19</v>
      </c>
      <c r="F1" s="22" t="s">
        <v>56</v>
      </c>
      <c r="G1" s="21" t="s">
        <v>55</v>
      </c>
      <c r="H1" s="21" t="s">
        <v>54</v>
      </c>
      <c r="I1" s="21" t="s">
        <v>53</v>
      </c>
      <c r="J1" s="20" t="s">
        <v>52</v>
      </c>
      <c r="K1" s="20" t="s">
        <v>51</v>
      </c>
      <c r="L1" s="20" t="s">
        <v>50</v>
      </c>
      <c r="M1" s="20" t="s">
        <v>49</v>
      </c>
      <c r="N1" s="20" t="s">
        <v>32</v>
      </c>
      <c r="O1" s="20" t="s">
        <v>34</v>
      </c>
      <c r="P1" s="20" t="s">
        <v>38</v>
      </c>
      <c r="Q1" s="20" t="s">
        <v>36</v>
      </c>
      <c r="R1" s="20" t="s">
        <v>48</v>
      </c>
    </row>
    <row r="2" spans="1:18" x14ac:dyDescent="0.25">
      <c r="A2" s="19" t="s">
        <v>16</v>
      </c>
      <c r="B2" s="18">
        <v>5</v>
      </c>
      <c r="C2" s="19" t="s">
        <v>45</v>
      </c>
      <c r="D2" s="16">
        <v>98</v>
      </c>
      <c r="E2" s="16">
        <v>25.75</v>
      </c>
      <c r="F2" s="16">
        <v>4.2</v>
      </c>
      <c r="G2" s="16">
        <v>195</v>
      </c>
      <c r="H2" s="17">
        <v>0.25</v>
      </c>
      <c r="I2" s="18">
        <v>1</v>
      </c>
      <c r="J2" s="18">
        <f>2.97*G2/I2</f>
        <v>579.15000000000009</v>
      </c>
      <c r="K2" s="18">
        <f>J2/12</f>
        <v>48.26250000000001</v>
      </c>
      <c r="L2" s="17">
        <f>H2*B2*I2</f>
        <v>1.25</v>
      </c>
      <c r="M2" s="16">
        <f>(I2*E2)+(I2*(I2-1)*F2)</f>
        <v>25.75</v>
      </c>
      <c r="N2" s="16">
        <f>J2*M2</f>
        <v>14913.112500000003</v>
      </c>
      <c r="O2" s="16">
        <f>SQRT(N2)</f>
        <v>122.11925523847582</v>
      </c>
      <c r="P2" s="16">
        <f>L2*J2*(1-D2/100)</f>
        <v>14.478750000000016</v>
      </c>
      <c r="Q2" s="16">
        <f>$H$12*B2*H2*O2</f>
        <v>251.09245367721113</v>
      </c>
      <c r="R2" s="16">
        <f>P2+Q2</f>
        <v>265.57120367721114</v>
      </c>
    </row>
    <row r="3" spans="1:18" x14ac:dyDescent="0.25">
      <c r="A3" s="19" t="s">
        <v>12</v>
      </c>
      <c r="B3" s="18">
        <v>6</v>
      </c>
      <c r="C3" s="19" t="s">
        <v>45</v>
      </c>
      <c r="D3" s="16">
        <v>98</v>
      </c>
      <c r="E3" s="16">
        <v>25.75</v>
      </c>
      <c r="F3" s="16">
        <v>4.2</v>
      </c>
      <c r="G3" s="16">
        <v>195</v>
      </c>
      <c r="H3" s="17">
        <v>0.25</v>
      </c>
      <c r="I3" s="18">
        <v>1</v>
      </c>
      <c r="J3" s="18">
        <f>2.97*G3/I3</f>
        <v>579.15000000000009</v>
      </c>
      <c r="K3" s="18">
        <f>J3/12</f>
        <v>48.26250000000001</v>
      </c>
      <c r="L3" s="17">
        <f>H3*B3*I3</f>
        <v>1.5</v>
      </c>
      <c r="M3" s="16">
        <f>(I3*E3)+(I3*(I3-1)*F3)</f>
        <v>25.75</v>
      </c>
      <c r="N3" s="16">
        <f>J3*M3</f>
        <v>14913.112500000003</v>
      </c>
      <c r="O3" s="16">
        <f>SQRT(N3)</f>
        <v>122.11925523847582</v>
      </c>
      <c r="P3" s="16">
        <f>L3*J3*(1-D3/100)</f>
        <v>17.374500000000019</v>
      </c>
      <c r="Q3" s="16">
        <f>$H$12*B3*H3*O3</f>
        <v>301.31094441265333</v>
      </c>
      <c r="R3" s="16">
        <f>P3+Q3</f>
        <v>318.68544441265334</v>
      </c>
    </row>
    <row r="4" spans="1:18" x14ac:dyDescent="0.25">
      <c r="A4" s="19" t="s">
        <v>10</v>
      </c>
      <c r="B4" s="18">
        <v>6</v>
      </c>
      <c r="C4" s="19" t="s">
        <v>47</v>
      </c>
      <c r="D4" s="3">
        <v>98.98</v>
      </c>
      <c r="E4" s="3">
        <v>41.95</v>
      </c>
      <c r="F4" s="3">
        <v>7.5</v>
      </c>
      <c r="G4" s="16">
        <v>400</v>
      </c>
      <c r="H4" s="17">
        <v>0.25</v>
      </c>
      <c r="I4" s="18">
        <v>3</v>
      </c>
      <c r="J4" s="18">
        <f>2.97*G4/I4</f>
        <v>396</v>
      </c>
      <c r="K4" s="18">
        <f>J4/12</f>
        <v>33</v>
      </c>
      <c r="L4" s="17">
        <f>H4*B4*I4</f>
        <v>4.5</v>
      </c>
      <c r="M4" s="16">
        <f>(I4*E4)+(I4*(I4-1)*F4)</f>
        <v>170.85000000000002</v>
      </c>
      <c r="N4" s="16">
        <f>J4*M4</f>
        <v>67656.600000000006</v>
      </c>
      <c r="O4" s="16">
        <f>SQRT(N4)</f>
        <v>260.10882337975391</v>
      </c>
      <c r="P4" s="16">
        <f>L4*J4*(1-D4/100)</f>
        <v>18.176399999999976</v>
      </c>
      <c r="Q4" s="16">
        <f>$H$12*B4*H4*O4</f>
        <v>641.77950536603589</v>
      </c>
      <c r="R4" s="16">
        <f>P4+Q4</f>
        <v>659.95590536603584</v>
      </c>
    </row>
    <row r="5" spans="1:18" x14ac:dyDescent="0.25">
      <c r="A5" s="19" t="s">
        <v>7</v>
      </c>
      <c r="B5" s="18">
        <v>10</v>
      </c>
      <c r="C5" s="19" t="s">
        <v>46</v>
      </c>
      <c r="D5">
        <v>99.17</v>
      </c>
      <c r="E5" s="3">
        <v>20.9</v>
      </c>
      <c r="F5" s="3">
        <v>3.2</v>
      </c>
      <c r="G5" s="16">
        <v>180</v>
      </c>
      <c r="H5" s="17">
        <v>0.1</v>
      </c>
      <c r="I5" s="18">
        <v>5</v>
      </c>
      <c r="J5" s="18">
        <f>2.97*G5/I5</f>
        <v>106.92</v>
      </c>
      <c r="K5" s="18">
        <f>J5/12</f>
        <v>8.91</v>
      </c>
      <c r="L5" s="17">
        <f>H5*B5*I5</f>
        <v>5</v>
      </c>
      <c r="M5" s="16">
        <f>(I5*E5)+(I5*(I5-1)*F5)</f>
        <v>168.5</v>
      </c>
      <c r="N5" s="16">
        <f>J5*M5</f>
        <v>18016.02</v>
      </c>
      <c r="O5" s="16">
        <f>SQRT(N5)</f>
        <v>134.22376838697386</v>
      </c>
      <c r="P5" s="16">
        <f>L5*J5*(1-D5/100)</f>
        <v>4.4371799999999864</v>
      </c>
      <c r="Q5" s="16">
        <f>$H$12*B5*H5*O5</f>
        <v>220.78467661973335</v>
      </c>
      <c r="R5" s="16">
        <f>P5+Q5</f>
        <v>225.22185661973333</v>
      </c>
    </row>
    <row r="6" spans="1:18" x14ac:dyDescent="0.25">
      <c r="A6" s="19" t="s">
        <v>3</v>
      </c>
      <c r="B6" s="18">
        <v>10</v>
      </c>
      <c r="C6" s="19" t="s">
        <v>45</v>
      </c>
      <c r="D6" s="16">
        <v>98</v>
      </c>
      <c r="E6" s="16">
        <v>25.75</v>
      </c>
      <c r="F6" s="16">
        <v>4.2</v>
      </c>
      <c r="G6" s="16">
        <v>195</v>
      </c>
      <c r="H6" s="17">
        <v>0.1</v>
      </c>
      <c r="I6" s="18">
        <v>5</v>
      </c>
      <c r="J6" s="18">
        <f>2.97*G6/I6</f>
        <v>115.83000000000001</v>
      </c>
      <c r="K6" s="18">
        <f>J6/12</f>
        <v>9.6525000000000016</v>
      </c>
      <c r="L6" s="17">
        <f>H6*B6*I6</f>
        <v>5</v>
      </c>
      <c r="M6" s="16">
        <f>(I6*E6)+(I6*(I6-1)*F6)</f>
        <v>212.75</v>
      </c>
      <c r="N6" s="16">
        <f>J6*M6</f>
        <v>24642.832500000004</v>
      </c>
      <c r="O6" s="16">
        <f>SQRT(N6)</f>
        <v>156.9803570514477</v>
      </c>
      <c r="P6" s="16">
        <f>L6*J6*(1-D6/100)</f>
        <v>11.583000000000013</v>
      </c>
      <c r="Q6" s="16">
        <f>$H$12*B6*H6*O6</f>
        <v>258.21698931392638</v>
      </c>
      <c r="R6" s="16">
        <f>P6+Q6</f>
        <v>269.7999893139264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>
        <f>SUM(K2:K6)</f>
        <v>148.08750000000003</v>
      </c>
      <c r="Q7" s="1"/>
      <c r="R7" s="1">
        <f>SUM(R2:R6)</f>
        <v>1739.2343993895602</v>
      </c>
    </row>
    <row r="8" spans="1:18" x14ac:dyDescent="0.25">
      <c r="A8" s="6" t="s">
        <v>44</v>
      </c>
      <c r="B8" s="15" t="s">
        <v>43</v>
      </c>
      <c r="C8" s="14"/>
      <c r="D8" s="14"/>
      <c r="E8" s="14"/>
      <c r="F8" s="13"/>
      <c r="G8" s="6" t="s">
        <v>42</v>
      </c>
      <c r="H8" s="6" t="s">
        <v>41</v>
      </c>
    </row>
    <row r="9" spans="1:18" x14ac:dyDescent="0.25">
      <c r="A9" s="2" t="s">
        <v>40</v>
      </c>
      <c r="B9" s="2" t="s">
        <v>39</v>
      </c>
      <c r="C9" s="2"/>
      <c r="D9" s="2"/>
      <c r="E9" s="2"/>
      <c r="F9" s="2"/>
      <c r="G9" s="10">
        <v>0.8</v>
      </c>
      <c r="H9" s="3">
        <v>0.84160000000000001</v>
      </c>
    </row>
    <row r="10" spans="1:18" x14ac:dyDescent="0.25">
      <c r="A10" s="3" t="s">
        <v>38</v>
      </c>
      <c r="B10" s="2" t="s">
        <v>37</v>
      </c>
      <c r="C10" s="3"/>
      <c r="D10" s="3"/>
      <c r="E10" s="3"/>
      <c r="F10" s="3"/>
      <c r="G10" s="10">
        <v>0.85</v>
      </c>
      <c r="H10" s="3">
        <v>1.0364</v>
      </c>
    </row>
    <row r="11" spans="1:18" x14ac:dyDescent="0.25">
      <c r="A11" s="3" t="s">
        <v>36</v>
      </c>
      <c r="B11" s="3" t="s">
        <v>35</v>
      </c>
      <c r="C11" s="3"/>
      <c r="D11" s="3"/>
      <c r="E11" s="3"/>
      <c r="F11" s="3"/>
      <c r="G11" s="10">
        <v>0.9</v>
      </c>
      <c r="H11" s="3">
        <v>1.2816000000000001</v>
      </c>
    </row>
    <row r="12" spans="1:18" x14ac:dyDescent="0.25">
      <c r="A12" s="3" t="s">
        <v>34</v>
      </c>
      <c r="B12" s="3" t="s">
        <v>33</v>
      </c>
      <c r="C12" s="3"/>
      <c r="D12" s="3"/>
      <c r="E12" s="3"/>
      <c r="F12" s="3"/>
      <c r="G12" s="12">
        <v>0.95</v>
      </c>
      <c r="H12" s="11">
        <v>1.6449</v>
      </c>
    </row>
    <row r="13" spans="1:18" x14ac:dyDescent="0.25">
      <c r="A13" s="3" t="s">
        <v>32</v>
      </c>
      <c r="B13" s="3" t="s">
        <v>31</v>
      </c>
      <c r="C13" s="3"/>
      <c r="D13" s="3"/>
      <c r="E13" s="3"/>
      <c r="F13" s="3"/>
      <c r="G13" s="10">
        <v>0.99</v>
      </c>
      <c r="H13" s="3">
        <v>2.3262999999999998</v>
      </c>
    </row>
    <row r="14" spans="1:18" x14ac:dyDescent="0.25">
      <c r="A14" s="3" t="s">
        <v>30</v>
      </c>
      <c r="B14" s="3" t="s">
        <v>29</v>
      </c>
      <c r="C14" s="3"/>
      <c r="D14" s="3"/>
      <c r="E14" s="3"/>
      <c r="F14" s="3"/>
    </row>
    <row r="15" spans="1:18" x14ac:dyDescent="0.25">
      <c r="A15" s="3" t="s">
        <v>28</v>
      </c>
      <c r="B15" s="3" t="s">
        <v>27</v>
      </c>
      <c r="C15" s="3"/>
      <c r="D15" s="3"/>
      <c r="E15" s="3"/>
      <c r="F15" s="3"/>
      <c r="G15" s="9"/>
      <c r="H15" s="9"/>
    </row>
    <row r="16" spans="1:18" x14ac:dyDescent="0.25">
      <c r="A16" s="3" t="s">
        <v>26</v>
      </c>
      <c r="B16" s="3" t="s">
        <v>25</v>
      </c>
      <c r="C16" s="3"/>
      <c r="D16" s="3"/>
      <c r="E16" s="3"/>
      <c r="F16" s="3"/>
    </row>
    <row r="18" spans="1:12" x14ac:dyDescent="0.25">
      <c r="A18" s="6" t="s">
        <v>24</v>
      </c>
      <c r="B18" s="8" t="s">
        <v>23</v>
      </c>
      <c r="G18" s="7" t="s">
        <v>22</v>
      </c>
      <c r="H18" s="7" t="s">
        <v>21</v>
      </c>
      <c r="I18" s="7" t="s">
        <v>20</v>
      </c>
      <c r="J18" s="7" t="s">
        <v>19</v>
      </c>
      <c r="K18" s="7" t="s">
        <v>18</v>
      </c>
      <c r="L18" s="6" t="s">
        <v>17</v>
      </c>
    </row>
    <row r="19" spans="1:12" x14ac:dyDescent="0.25">
      <c r="A19" s="2" t="s">
        <v>16</v>
      </c>
      <c r="B19" s="3">
        <v>5</v>
      </c>
      <c r="G19" s="5" t="s">
        <v>15</v>
      </c>
      <c r="H19" s="4" t="s">
        <v>14</v>
      </c>
      <c r="I19">
        <v>99.17</v>
      </c>
      <c r="J19" s="3">
        <v>20.9</v>
      </c>
      <c r="K19" s="3">
        <v>3.2</v>
      </c>
      <c r="L19" s="2" t="s">
        <v>13</v>
      </c>
    </row>
    <row r="20" spans="1:12" x14ac:dyDescent="0.25">
      <c r="A20" s="2" t="s">
        <v>12</v>
      </c>
      <c r="B20" s="3">
        <v>6</v>
      </c>
      <c r="G20" s="2" t="s">
        <v>11</v>
      </c>
      <c r="H20" s="4" t="s">
        <v>5</v>
      </c>
      <c r="I20" s="3">
        <v>97.81</v>
      </c>
      <c r="J20" s="3">
        <v>28.15</v>
      </c>
      <c r="K20" s="3">
        <v>4.6500000000000004</v>
      </c>
      <c r="L20" s="2" t="s">
        <v>0</v>
      </c>
    </row>
    <row r="21" spans="1:12" x14ac:dyDescent="0.25">
      <c r="A21" s="2" t="s">
        <v>10</v>
      </c>
      <c r="B21" s="3">
        <v>6</v>
      </c>
      <c r="G21" s="2" t="s">
        <v>9</v>
      </c>
      <c r="H21" s="4" t="s">
        <v>5</v>
      </c>
      <c r="I21" s="3">
        <v>98.98</v>
      </c>
      <c r="J21" s="3">
        <v>41.95</v>
      </c>
      <c r="K21" s="3">
        <v>7.5</v>
      </c>
      <c r="L21" s="2" t="s">
        <v>8</v>
      </c>
    </row>
    <row r="22" spans="1:12" x14ac:dyDescent="0.25">
      <c r="A22" s="2" t="s">
        <v>7</v>
      </c>
      <c r="B22" s="3">
        <v>10</v>
      </c>
      <c r="G22" s="2" t="s">
        <v>6</v>
      </c>
      <c r="H22" s="4" t="s">
        <v>5</v>
      </c>
      <c r="I22" s="3">
        <v>98.15</v>
      </c>
      <c r="J22" s="3">
        <v>98.3</v>
      </c>
      <c r="K22" s="3">
        <v>19.100000000000001</v>
      </c>
      <c r="L22" s="2" t="s">
        <v>4</v>
      </c>
    </row>
    <row r="23" spans="1:12" x14ac:dyDescent="0.25">
      <c r="A23" s="2" t="s">
        <v>3</v>
      </c>
      <c r="B23" s="3">
        <v>10</v>
      </c>
      <c r="G23" s="2" t="s">
        <v>2</v>
      </c>
      <c r="H23" s="4" t="s">
        <v>1</v>
      </c>
      <c r="I23" s="3">
        <v>99.73</v>
      </c>
      <c r="J23" s="3">
        <v>25.75</v>
      </c>
      <c r="K23" s="3">
        <v>4.2</v>
      </c>
      <c r="L23" s="2" t="s">
        <v>0</v>
      </c>
    </row>
    <row r="27" spans="1:12" x14ac:dyDescent="0.25">
      <c r="G27" s="1"/>
      <c r="H27" s="1"/>
      <c r="I27" s="1"/>
      <c r="J27" s="1"/>
      <c r="K27" s="1"/>
    </row>
    <row r="28" spans="1:12" x14ac:dyDescent="0.25">
      <c r="G28" s="1"/>
      <c r="H28" s="1"/>
      <c r="I28" s="1"/>
      <c r="J28" s="1"/>
      <c r="K28" s="1"/>
    </row>
    <row r="29" spans="1:12" x14ac:dyDescent="0.25">
      <c r="G29" s="1"/>
      <c r="H29" s="1"/>
      <c r="I29" s="1"/>
      <c r="J29" s="1"/>
      <c r="K29" s="1"/>
    </row>
    <row r="30" spans="1:12" x14ac:dyDescent="0.25">
      <c r="G30" s="1"/>
      <c r="H30" s="1"/>
      <c r="I30" s="1"/>
      <c r="J30" s="1"/>
      <c r="K30" s="1"/>
    </row>
    <row r="31" spans="1:12" x14ac:dyDescent="0.25">
      <c r="G31" s="1"/>
      <c r="H31" s="1"/>
      <c r="I31" s="1"/>
      <c r="J31" s="1"/>
      <c r="K31" s="1"/>
    </row>
    <row r="32" spans="1:12" x14ac:dyDescent="0.25">
      <c r="G32" s="1"/>
      <c r="H32" s="1"/>
      <c r="I32" s="1"/>
      <c r="J32" s="1"/>
      <c r="K32" s="1"/>
    </row>
    <row r="33" spans="7:11" x14ac:dyDescent="0.25">
      <c r="G33" s="1"/>
      <c r="H33" s="1"/>
      <c r="I33" s="1"/>
      <c r="J33" s="1"/>
      <c r="K33" s="1"/>
    </row>
  </sheetData>
  <mergeCells count="1">
    <mergeCell ref="B8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TargetBankroll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 (US), Larry C</dc:creator>
  <cp:lastModifiedBy>Harris (US), Larry C</cp:lastModifiedBy>
  <dcterms:created xsi:type="dcterms:W3CDTF">2026-09-04T19:56:35Z</dcterms:created>
  <dcterms:modified xsi:type="dcterms:W3CDTF">2026-09-04T19:57:34Z</dcterms:modified>
</cp:coreProperties>
</file>